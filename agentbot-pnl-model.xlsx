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Economics" sheetId="1" state="visible" r:id="rId3"/>
    <sheet name="Monthly P&amp;L" sheetId="2" state="visible" r:id="rId4"/>
    <sheet name="Cash Runwa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<sst xmlns="http://schemas.openxmlformats.org/spreadsheetml/2006/main" count="89" uniqueCount="83">
  <si>
    <t xml:space="preserve">AGENTBOT — Unit Economics &amp; P&amp;L Model</t>
  </si>
  <si>
    <t xml:space="preserve">March 2026 · All figures in GBP (£) · Monthly basis</t>
  </si>
  <si>
    <t xml:space="preserve">REVENUE PER PLAN</t>
  </si>
  <si>
    <t xml:space="preserve">Underground</t>
  </si>
  <si>
    <t xml:space="preserve">Collective</t>
  </si>
  <si>
    <t xml:space="preserve">Label</t>
  </si>
  <si>
    <t xml:space="preserve">Notes</t>
  </si>
  <si>
    <t xml:space="preserve">Monthly price (£)</t>
  </si>
  <si>
    <t xml:space="preserve">Source: Stripe live catalog</t>
  </si>
  <si>
    <t xml:space="preserve">Agents included</t>
  </si>
  <si>
    <t xml:space="preserve">"Unlimited" capped at 100 for modeling</t>
  </si>
  <si>
    <t xml:space="preserve">RAM per plan</t>
  </si>
  <si>
    <t xml:space="preserve">2GB</t>
  </si>
  <si>
    <t xml:space="preserve">4GB</t>
  </si>
  <si>
    <t xml:space="preserve">8GB</t>
  </si>
  <si>
    <t xml:space="preserve">CPU cores per plan</t>
  </si>
  <si>
    <t xml:space="preserve">VARIABLE COST PER SUBSCRIBER / mo</t>
  </si>
  <si>
    <t xml:space="preserve">Stripe fee (2.9% + 30p)</t>
  </si>
  <si>
    <t xml:space="preserve">Stripe standard UK rate</t>
  </si>
  <si>
    <t xml:space="preserve">Render compute (est. per subscriber)</t>
  </si>
  <si>
    <t xml:space="preserve">Docker container + share of worker</t>
  </si>
  <si>
    <t xml:space="preserve">OpenRouter API pass-through (est.)</t>
  </si>
  <si>
    <t xml:space="preserve">BYOK — user pays own AI costs (£0 to us)</t>
  </si>
  <si>
    <t xml:space="preserve">Email (Resend, est. per user)</t>
  </si>
  <si>
    <t xml:space="preserve">Support allocation (est.)</t>
  </si>
  <si>
    <t xml:space="preserve">Priority/24-7 support for higher tiers</t>
  </si>
  <si>
    <t xml:space="preserve">TOTAL VARIABLE COST / subscriber</t>
  </si>
  <si>
    <t xml:space="preserve">CONTRIBUTION MARGIN / subscriber</t>
  </si>
  <si>
    <t xml:space="preserve">Contribution margin %</t>
  </si>
  <si>
    <t xml:space="preserve">AGENTBOT — Monthly P&amp;L Scenarios</t>
  </si>
  <si>
    <t xml:space="preserve">GBP · Scenario modeling: Launch / Month 3 / Month 6</t>
  </si>
  <si>
    <t xml:space="preserve">SUBSCRIBER ASSUMPTIONS</t>
  </si>
  <si>
    <t xml:space="preserve">Launch (Mo 1)</t>
  </si>
  <si>
    <t xml:space="preserve">Month 3</t>
  </si>
  <si>
    <t xml:space="preserve">Month 6</t>
  </si>
  <si>
    <t xml:space="preserve">Underground subscribers</t>
  </si>
  <si>
    <t xml:space="preserve">Collective subscribers</t>
  </si>
  <si>
    <t xml:space="preserve">Label subscribers</t>
  </si>
  <si>
    <t xml:space="preserve">Total subscribers</t>
  </si>
  <si>
    <t xml:space="preserve">REVENUE</t>
  </si>
  <si>
    <t xml:space="preserve">Underground revenue</t>
  </si>
  <si>
    <t xml:space="preserve">Collective revenue</t>
  </si>
  <si>
    <t xml:space="preserve">Label revenue</t>
  </si>
  <si>
    <t xml:space="preserve">TOTAL GROSS REVENUE</t>
  </si>
  <si>
    <t xml:space="preserve">VARIABLE COSTS</t>
  </si>
  <si>
    <t xml:space="preserve">Underground variable costs</t>
  </si>
  <si>
    <t xml:space="preserve">Collective variable costs</t>
  </si>
  <si>
    <t xml:space="preserve">Label variable costs</t>
  </si>
  <si>
    <t xml:space="preserve">TOTAL VARIABLE COSTS</t>
  </si>
  <si>
    <t xml:space="preserve">CONTRIBUTION MARGIN</t>
  </si>
  <si>
    <t xml:space="preserve">FIXED COSTS (monthly)</t>
  </si>
  <si>
    <t xml:space="preserve">Render — Web Service (Starter+)</t>
  </si>
  <si>
    <t xml:space="preserve">Render — Background Worker</t>
  </si>
  <si>
    <t xml:space="preserve">Render — PostgreSQL (Basic→Standard)</t>
  </si>
  <si>
    <t xml:space="preserve">Render — Redis</t>
  </si>
  <si>
    <t xml:space="preserve">Vercel (Pro)</t>
  </si>
  <si>
    <t xml:space="preserve">Domain (raveculture.xyz / yr ÷ 12)</t>
  </si>
  <si>
    <t xml:space="preserve">Resend (email, base plan)</t>
  </si>
  <si>
    <t xml:space="preserve">Mux (video streaming, est.)</t>
  </si>
  <si>
    <t xml:space="preserve">GitHub (Team, if needed)</t>
  </si>
  <si>
    <t xml:space="preserve">Monitoring / error tracking (est.)</t>
  </si>
  <si>
    <t xml:space="preserve">OpenRouter demo credit top-up</t>
  </si>
  <si>
    <t xml:space="preserve">TOTAL FIXED COSTS</t>
  </si>
  <si>
    <t xml:space="preserve">OPERATING PROFIT / LOSS</t>
  </si>
  <si>
    <t xml:space="preserve">NET MONTHLY PROFIT / (LOSS)</t>
  </si>
  <si>
    <t xml:space="preserve">Net margin %</t>
  </si>
  <si>
    <t xml:space="preserve">Annual run-rate</t>
  </si>
  <si>
    <t xml:space="preserve">BREAKEVEN ANALYSIS</t>
  </si>
  <si>
    <t xml:space="preserve">Fixed costs to cover</t>
  </si>
  <si>
    <t xml:space="preserve">Avg contribution margin / sub (blended)</t>
  </si>
  <si>
    <t xml:space="preserve">Breakeven subscribers needed</t>
  </si>
  <si>
    <t xml:space="preserve">Breakeven MRR needed</t>
  </si>
  <si>
    <t xml:space="preserve">AGENTBOT — 6-Month Cash Runway</t>
  </si>
  <si>
    <t xml:space="preserve">Month 1</t>
  </si>
  <si>
    <t xml:space="preserve">Month 2</t>
  </si>
  <si>
    <t xml:space="preserve">Month 4</t>
  </si>
  <si>
    <t xml:space="preserve">Month 5</t>
  </si>
  <si>
    <t xml:space="preserve">Starting cash balance</t>
  </si>
  <si>
    <t xml:space="preserve">Blended ARPU (avg rev per user)</t>
  </si>
  <si>
    <t xml:space="preserve">Monthly revenue</t>
  </si>
  <si>
    <t xml:space="preserve">Monthly total costs (var + fixed)</t>
  </si>
  <si>
    <t xml:space="preserve">Net cash flow</t>
  </si>
  <si>
    <t xml:space="preserve">ENDING CASH BALANCE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</si>
</sst>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;&quot;(£&quot;#,##0\);\-"/>
    <numFmt numFmtId="166" formatCode="\£#,##0.00;&quot;(£&quot;#,##0.00\);\-"/>
    <numFmt numFmtId="167" formatCode="0.0%"/>
    <numFmt numFmtId="168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D1FAE5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0" t="s">
        <v>7</v>
      </c>
      <c r="B5" s="4" t="n">
        <v>29</v>
      </c>
      <c r="C5" s="4" t="n">
        <v>69</v>
      </c>
      <c r="D5" s="4" t="n">
        <v>199</v>
      </c>
      <c r="E5" s="5" t="s">
        <v>8</v>
      </c>
    </row>
    <row r="6" customFormat="false" ht="15" hidden="false" customHeight="false" outlineLevel="0" collapsed="false">
      <c r="A6" s="0" t="s">
        <v>9</v>
      </c>
      <c r="B6" s="6" t="n">
        <v>1</v>
      </c>
      <c r="C6" s="6" t="n">
        <v>3</v>
      </c>
      <c r="D6" s="6" t="n">
        <v>100</v>
      </c>
      <c r="E6" s="5" t="s">
        <v>10</v>
      </c>
    </row>
    <row r="7" customFormat="false" ht="15" hidden="false" customHeight="false" outlineLevel="0" collapsed="false">
      <c r="A7" s="0" t="s">
        <v>11</v>
      </c>
      <c r="B7" s="7" t="s">
        <v>12</v>
      </c>
      <c r="C7" s="7" t="s">
        <v>13</v>
      </c>
      <c r="D7" s="7" t="s">
        <v>14</v>
      </c>
    </row>
    <row r="8" customFormat="false" ht="15" hidden="false" customHeight="false" outlineLevel="0" collapsed="false">
      <c r="A8" s="0" t="s">
        <v>15</v>
      </c>
      <c r="B8" s="7" t="n">
        <v>1</v>
      </c>
      <c r="C8" s="7" t="n">
        <v>2</v>
      </c>
      <c r="D8" s="7" t="n">
        <v>4</v>
      </c>
    </row>
    <row r="10" customFormat="false" ht="15" hidden="false" customHeight="false" outlineLevel="0" collapsed="false">
      <c r="A10" s="3" t="s">
        <v>16</v>
      </c>
      <c r="B10" s="3" t="s">
        <v>3</v>
      </c>
      <c r="C10" s="3" t="s">
        <v>4</v>
      </c>
      <c r="D10" s="3" t="s">
        <v>5</v>
      </c>
      <c r="E10" s="3"/>
    </row>
    <row r="11" customFormat="false" ht="15" hidden="false" customHeight="false" outlineLevel="0" collapsed="false">
      <c r="A11" s="0" t="s">
        <v>17</v>
      </c>
      <c r="B11" s="8" t="n">
        <f aca="false">B5*0.029+0.3</f>
        <v>1.141</v>
      </c>
      <c r="C11" s="8" t="n">
        <f aca="false">C5*0.029+0.3</f>
        <v>2.301</v>
      </c>
      <c r="D11" s="8" t="n">
        <f aca="false">D5*0.029+0.3</f>
        <v>6.071</v>
      </c>
      <c r="E11" s="5" t="s">
        <v>18</v>
      </c>
    </row>
    <row r="12" customFormat="false" ht="15" hidden="false" customHeight="false" outlineLevel="0" collapsed="false">
      <c r="A12" s="0" t="s">
        <v>19</v>
      </c>
      <c r="B12" s="9" t="n">
        <v>7</v>
      </c>
      <c r="C12" s="9" t="n">
        <v>15</v>
      </c>
      <c r="D12" s="9" t="n">
        <v>45</v>
      </c>
      <c r="E12" s="5" t="s">
        <v>20</v>
      </c>
    </row>
    <row r="13" customFormat="false" ht="15" hidden="false" customHeight="false" outlineLevel="0" collapsed="false">
      <c r="A13" s="0" t="s">
        <v>21</v>
      </c>
      <c r="B13" s="9" t="n">
        <v>0</v>
      </c>
      <c r="C13" s="9" t="n">
        <v>0</v>
      </c>
      <c r="D13" s="9" t="n">
        <v>0</v>
      </c>
      <c r="E13" s="5" t="s">
        <v>22</v>
      </c>
    </row>
    <row r="14" customFormat="false" ht="15" hidden="false" customHeight="false" outlineLevel="0" collapsed="false">
      <c r="A14" s="0" t="s">
        <v>23</v>
      </c>
      <c r="B14" s="9" t="n">
        <v>0.05</v>
      </c>
      <c r="C14" s="9" t="n">
        <v>0.05</v>
      </c>
      <c r="D14" s="9" t="n">
        <v>0.05</v>
      </c>
    </row>
    <row r="15" customFormat="false" ht="15" hidden="false" customHeight="false" outlineLevel="0" collapsed="false">
      <c r="A15" s="0" t="s">
        <v>24</v>
      </c>
      <c r="B15" s="9" t="n">
        <v>0</v>
      </c>
      <c r="C15" s="9" t="n">
        <v>1</v>
      </c>
      <c r="D15" s="9" t="n">
        <v>5</v>
      </c>
      <c r="E15" s="5" t="s">
        <v>25</v>
      </c>
    </row>
    <row r="16" customFormat="false" ht="15" hidden="false" customHeight="false" outlineLevel="0" collapsed="false">
      <c r="A16" s="10" t="s">
        <v>26</v>
      </c>
      <c r="B16" s="11" t="n">
        <f aca="false">SUM(B11:B15)</f>
        <v>8.191</v>
      </c>
      <c r="C16" s="11" t="n">
        <f aca="false">SUM(C11:C15)</f>
        <v>18.351</v>
      </c>
      <c r="D16" s="11" t="n">
        <f aca="false">SUM(D11:D15)</f>
        <v>56.121</v>
      </c>
    </row>
    <row r="17" customFormat="false" ht="15" hidden="false" customHeight="false" outlineLevel="0" collapsed="false">
      <c r="A17" s="12" t="s">
        <v>27</v>
      </c>
      <c r="B17" s="13" t="n">
        <f aca="false">B5-B16</f>
        <v>20.809</v>
      </c>
      <c r="C17" s="13" t="n">
        <f aca="false">C5-C16</f>
        <v>50.649</v>
      </c>
      <c r="D17" s="13" t="n">
        <f aca="false">D5-D16</f>
        <v>142.879</v>
      </c>
    </row>
    <row r="18" customFormat="false" ht="15" hidden="false" customHeight="false" outlineLevel="0" collapsed="false">
      <c r="A18" s="12" t="s">
        <v>28</v>
      </c>
      <c r="B18" s="14" t="n">
        <f aca="false">IF(B5=0,0,B17/B5)</f>
        <v>0.717551724137931</v>
      </c>
      <c r="C18" s="14" t="n">
        <f aca="false">IF(C5=0,0,C17/C5)</f>
        <v>0.73404347826087</v>
      </c>
      <c r="D18" s="14" t="n">
        <f aca="false">IF(D5=0,0,D17/D5)</f>
        <v>0.717984924623116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1" t="s">
        <v>29</v>
      </c>
      <c r="B1" s="1"/>
      <c r="C1" s="1"/>
      <c r="D1" s="1"/>
    </row>
    <row r="2" customFormat="false" ht="15" hidden="false" customHeight="false" outlineLevel="0" collapsed="false">
      <c r="A2" s="2" t="s">
        <v>30</v>
      </c>
      <c r="B2" s="2"/>
      <c r="C2" s="2"/>
      <c r="D2" s="2"/>
    </row>
    <row r="4" customFormat="false" ht="15" hidden="false" customHeight="false" outlineLevel="0" collapsed="false">
      <c r="A4" s="3" t="s">
        <v>31</v>
      </c>
      <c r="B4" s="3" t="s">
        <v>32</v>
      </c>
      <c r="C4" s="3" t="s">
        <v>33</v>
      </c>
      <c r="D4" s="3" t="s">
        <v>34</v>
      </c>
    </row>
    <row r="5" customFormat="false" ht="15" hidden="false" customHeight="false" outlineLevel="0" collapsed="false">
      <c r="A5" s="0" t="s">
        <v>35</v>
      </c>
      <c r="B5" s="15" t="n">
        <v>10</v>
      </c>
      <c r="C5" s="15" t="n">
        <v>40</v>
      </c>
      <c r="D5" s="15" t="n">
        <v>120</v>
      </c>
    </row>
    <row r="6" customFormat="false" ht="15" hidden="false" customHeight="false" outlineLevel="0" collapsed="false">
      <c r="A6" s="0" t="s">
        <v>36</v>
      </c>
      <c r="B6" s="15" t="n">
        <v>5</v>
      </c>
      <c r="C6" s="15" t="n">
        <v>25</v>
      </c>
      <c r="D6" s="15" t="n">
        <v>80</v>
      </c>
    </row>
    <row r="7" customFormat="false" ht="15" hidden="false" customHeight="false" outlineLevel="0" collapsed="false">
      <c r="A7" s="0" t="s">
        <v>37</v>
      </c>
      <c r="B7" s="15" t="n">
        <v>1</v>
      </c>
      <c r="C7" s="15" t="n">
        <v>5</v>
      </c>
      <c r="D7" s="15" t="n">
        <v>15</v>
      </c>
    </row>
    <row r="8" customFormat="false" ht="15" hidden="false" customHeight="false" outlineLevel="0" collapsed="false">
      <c r="A8" s="12" t="s">
        <v>38</v>
      </c>
      <c r="B8" s="16" t="n">
        <f aca="false">SUM(B5:B7)</f>
        <v>16</v>
      </c>
      <c r="C8" s="16" t="n">
        <f aca="false">SUM(C5:C7)</f>
        <v>70</v>
      </c>
      <c r="D8" s="16" t="n">
        <f aca="false">SUM(D5:D7)</f>
        <v>215</v>
      </c>
    </row>
    <row r="10" customFormat="false" ht="15" hidden="false" customHeight="false" outlineLevel="0" collapsed="false">
      <c r="A10" s="3" t="s">
        <v>39</v>
      </c>
      <c r="B10" s="3"/>
      <c r="C10" s="3"/>
      <c r="D10" s="3"/>
    </row>
    <row r="11" customFormat="false" ht="15" hidden="false" customHeight="false" outlineLevel="0" collapsed="false">
      <c r="A11" s="0" t="s">
        <v>40</v>
      </c>
      <c r="B11" s="17" t="n">
        <f aca="false">B5*'Unit Economics'!B5</f>
        <v>290</v>
      </c>
      <c r="C11" s="17" t="n">
        <f aca="false">C5*'Unit Economics'!B5</f>
        <v>1160</v>
      </c>
      <c r="D11" s="17" t="n">
        <f aca="false">D5*'Unit Economics'!B5</f>
        <v>3480</v>
      </c>
    </row>
    <row r="12" customFormat="false" ht="15" hidden="false" customHeight="false" outlineLevel="0" collapsed="false">
      <c r="A12" s="0" t="s">
        <v>41</v>
      </c>
      <c r="B12" s="17" t="n">
        <f aca="false">B6*'Unit Economics'!C5</f>
        <v>345</v>
      </c>
      <c r="C12" s="17" t="n">
        <f aca="false">C6*'Unit Economics'!C5</f>
        <v>1725</v>
      </c>
      <c r="D12" s="17" t="n">
        <f aca="false">D6*'Unit Economics'!C5</f>
        <v>5520</v>
      </c>
    </row>
    <row r="13" customFormat="false" ht="15" hidden="false" customHeight="false" outlineLevel="0" collapsed="false">
      <c r="A13" s="0" t="s">
        <v>42</v>
      </c>
      <c r="B13" s="17" t="n">
        <f aca="false">B7*'Unit Economics'!D5</f>
        <v>199</v>
      </c>
      <c r="C13" s="17" t="n">
        <f aca="false">C7*'Unit Economics'!D5</f>
        <v>995</v>
      </c>
      <c r="D13" s="17" t="n">
        <f aca="false">D7*'Unit Economics'!D5</f>
        <v>2985</v>
      </c>
    </row>
    <row r="14" customFormat="false" ht="15" hidden="false" customHeight="false" outlineLevel="0" collapsed="false">
      <c r="A14" s="18" t="s">
        <v>43</v>
      </c>
      <c r="B14" s="19" t="n">
        <f aca="false">SUM(B11:B13)</f>
        <v>834</v>
      </c>
      <c r="C14" s="19" t="n">
        <f aca="false">SUM(C11:C13)</f>
        <v>3880</v>
      </c>
      <c r="D14" s="19" t="n">
        <f aca="false">SUM(D11:D13)</f>
        <v>11985</v>
      </c>
    </row>
    <row r="16" customFormat="false" ht="15" hidden="false" customHeight="false" outlineLevel="0" collapsed="false">
      <c r="A16" s="3" t="s">
        <v>44</v>
      </c>
      <c r="B16" s="3"/>
      <c r="C16" s="3"/>
      <c r="D16" s="3"/>
    </row>
    <row r="17" customFormat="false" ht="15" hidden="false" customHeight="false" outlineLevel="0" collapsed="false">
      <c r="A17" s="0" t="s">
        <v>45</v>
      </c>
      <c r="B17" s="17" t="n">
        <f aca="false">B5*'Unit Economics'!B16</f>
        <v>81.91</v>
      </c>
      <c r="C17" s="17" t="n">
        <f aca="false">C5*'Unit Economics'!B16</f>
        <v>327.64</v>
      </c>
      <c r="D17" s="17" t="n">
        <f aca="false">D5*'Unit Economics'!B16</f>
        <v>982.92</v>
      </c>
    </row>
    <row r="18" customFormat="false" ht="15" hidden="false" customHeight="false" outlineLevel="0" collapsed="false">
      <c r="A18" s="0" t="s">
        <v>46</v>
      </c>
      <c r="B18" s="17" t="n">
        <f aca="false">B6*'Unit Economics'!C16</f>
        <v>91.755</v>
      </c>
      <c r="C18" s="17" t="n">
        <f aca="false">C6*'Unit Economics'!C16</f>
        <v>458.775</v>
      </c>
      <c r="D18" s="17" t="n">
        <f aca="false">D6*'Unit Economics'!C16</f>
        <v>1468.08</v>
      </c>
    </row>
    <row r="19" customFormat="false" ht="15" hidden="false" customHeight="false" outlineLevel="0" collapsed="false">
      <c r="A19" s="0" t="s">
        <v>47</v>
      </c>
      <c r="B19" s="17" t="n">
        <f aca="false">B7*'Unit Economics'!D16</f>
        <v>56.121</v>
      </c>
      <c r="C19" s="17" t="n">
        <f aca="false">C7*'Unit Economics'!D16</f>
        <v>280.605</v>
      </c>
      <c r="D19" s="17" t="n">
        <f aca="false">D7*'Unit Economics'!D16</f>
        <v>841.815</v>
      </c>
    </row>
    <row r="20" customFormat="false" ht="15" hidden="false" customHeight="false" outlineLevel="0" collapsed="false">
      <c r="A20" s="18" t="s">
        <v>48</v>
      </c>
      <c r="B20" s="19" t="n">
        <f aca="false">SUM(B17:B19)</f>
        <v>229.786</v>
      </c>
      <c r="C20" s="19" t="n">
        <f aca="false">SUM(C17:C19)</f>
        <v>1067.02</v>
      </c>
      <c r="D20" s="19" t="n">
        <f aca="false">SUM(D17:D19)</f>
        <v>3292.815</v>
      </c>
    </row>
    <row r="21" customFormat="false" ht="15" hidden="false" customHeight="false" outlineLevel="0" collapsed="false">
      <c r="A21" s="12" t="s">
        <v>49</v>
      </c>
      <c r="B21" s="20" t="n">
        <f aca="false">B14-B20</f>
        <v>604.214</v>
      </c>
      <c r="C21" s="20" t="n">
        <f aca="false">C14-C20</f>
        <v>2812.98</v>
      </c>
      <c r="D21" s="20" t="n">
        <f aca="false">D14-D20</f>
        <v>8692.185</v>
      </c>
    </row>
    <row r="23" customFormat="false" ht="15" hidden="false" customHeight="false" outlineLevel="0" collapsed="false">
      <c r="A23" s="3" t="s">
        <v>50</v>
      </c>
      <c r="B23" s="3"/>
      <c r="C23" s="3"/>
      <c r="D23" s="3"/>
    </row>
    <row r="24" customFormat="false" ht="15" hidden="false" customHeight="false" outlineLevel="0" collapsed="false">
      <c r="A24" s="0" t="s">
        <v>51</v>
      </c>
      <c r="B24" s="4" t="n">
        <v>7</v>
      </c>
      <c r="C24" s="4" t="n">
        <v>19</v>
      </c>
      <c r="D24" s="4" t="n">
        <v>29</v>
      </c>
    </row>
    <row r="25" customFormat="false" ht="15" hidden="false" customHeight="false" outlineLevel="0" collapsed="false">
      <c r="A25" s="0" t="s">
        <v>52</v>
      </c>
      <c r="B25" s="4" t="n">
        <v>7</v>
      </c>
      <c r="C25" s="4" t="n">
        <v>19</v>
      </c>
      <c r="D25" s="4" t="n">
        <v>29</v>
      </c>
    </row>
    <row r="26" customFormat="false" ht="15" hidden="false" customHeight="false" outlineLevel="0" collapsed="false">
      <c r="A26" s="0" t="s">
        <v>53</v>
      </c>
      <c r="B26" s="4" t="n">
        <v>7</v>
      </c>
      <c r="C26" s="4" t="n">
        <v>20</v>
      </c>
      <c r="D26" s="4" t="n">
        <v>50</v>
      </c>
    </row>
    <row r="27" customFormat="false" ht="15" hidden="false" customHeight="false" outlineLevel="0" collapsed="false">
      <c r="A27" s="0" t="s">
        <v>54</v>
      </c>
      <c r="B27" s="4" t="n">
        <v>0</v>
      </c>
      <c r="C27" s="4" t="n">
        <v>10</v>
      </c>
      <c r="D27" s="4" t="n">
        <v>25</v>
      </c>
    </row>
    <row r="28" customFormat="false" ht="15" hidden="false" customHeight="false" outlineLevel="0" collapsed="false">
      <c r="A28" s="0" t="s">
        <v>55</v>
      </c>
      <c r="B28" s="4" t="n">
        <v>20</v>
      </c>
      <c r="C28" s="4" t="n">
        <v>20</v>
      </c>
      <c r="D28" s="4" t="n">
        <v>20</v>
      </c>
    </row>
    <row r="29" customFormat="false" ht="15" hidden="false" customHeight="false" outlineLevel="0" collapsed="false">
      <c r="A29" s="0" t="s">
        <v>56</v>
      </c>
      <c r="B29" s="4" t="n">
        <v>2</v>
      </c>
      <c r="C29" s="4" t="n">
        <v>2</v>
      </c>
      <c r="D29" s="4" t="n">
        <v>2</v>
      </c>
    </row>
    <row r="30" customFormat="false" ht="15" hidden="false" customHeight="false" outlineLevel="0" collapsed="false">
      <c r="A30" s="0" t="s">
        <v>57</v>
      </c>
      <c r="B30" s="4" t="n">
        <v>0</v>
      </c>
      <c r="C30" s="4" t="n">
        <v>0</v>
      </c>
      <c r="D30" s="4" t="n">
        <v>20</v>
      </c>
    </row>
    <row r="31" customFormat="false" ht="15" hidden="false" customHeight="false" outlineLevel="0" collapsed="false">
      <c r="A31" s="0" t="s">
        <v>58</v>
      </c>
      <c r="B31" s="4" t="n">
        <v>0</v>
      </c>
      <c r="C31" s="4" t="n">
        <v>20</v>
      </c>
      <c r="D31" s="4" t="n">
        <v>50</v>
      </c>
    </row>
    <row r="32" customFormat="false" ht="15" hidden="false" customHeight="false" outlineLevel="0" collapsed="false">
      <c r="A32" s="0" t="s">
        <v>59</v>
      </c>
      <c r="B32" s="4" t="n">
        <v>0</v>
      </c>
      <c r="C32" s="4" t="n">
        <v>4</v>
      </c>
      <c r="D32" s="4" t="n">
        <v>4</v>
      </c>
    </row>
    <row r="33" customFormat="false" ht="15" hidden="false" customHeight="false" outlineLevel="0" collapsed="false">
      <c r="A33" s="0" t="s">
        <v>60</v>
      </c>
      <c r="B33" s="4" t="n">
        <v>0</v>
      </c>
      <c r="C33" s="4" t="n">
        <v>0</v>
      </c>
      <c r="D33" s="4" t="n">
        <v>29</v>
      </c>
    </row>
    <row r="34" customFormat="false" ht="15" hidden="false" customHeight="false" outlineLevel="0" collapsed="false">
      <c r="A34" s="0" t="s">
        <v>61</v>
      </c>
      <c r="B34" s="4" t="n">
        <v>5</v>
      </c>
      <c r="C34" s="4" t="n">
        <v>10</v>
      </c>
      <c r="D34" s="4" t="n">
        <v>10</v>
      </c>
    </row>
    <row r="35" customFormat="false" ht="15" hidden="false" customHeight="false" outlineLevel="0" collapsed="false">
      <c r="A35" s="18" t="s">
        <v>62</v>
      </c>
      <c r="B35" s="19" t="n">
        <f aca="false">SUM(B24:B34)</f>
        <v>48</v>
      </c>
      <c r="C35" s="19" t="n">
        <f aca="false">SUM(C24:C34)</f>
        <v>124</v>
      </c>
      <c r="D35" s="19" t="n">
        <f aca="false">SUM(D24:D34)</f>
        <v>268</v>
      </c>
    </row>
    <row r="37" customFormat="false" ht="15" hidden="false" customHeight="false" outlineLevel="0" collapsed="false">
      <c r="A37" s="3" t="s">
        <v>63</v>
      </c>
      <c r="B37" s="3"/>
      <c r="C37" s="3"/>
      <c r="D37" s="3"/>
    </row>
    <row r="38" customFormat="false" ht="16.15" hidden="false" customHeight="false" outlineLevel="0" collapsed="false">
      <c r="A38" s="21" t="s">
        <v>64</v>
      </c>
      <c r="B38" s="22" t="n">
        <f aca="false">B21-B35</f>
        <v>556.214</v>
      </c>
      <c r="C38" s="22" t="n">
        <f aca="false">C21-C35</f>
        <v>2688.98</v>
      </c>
      <c r="D38" s="22" t="n">
        <f aca="false">D21-D35</f>
        <v>8424.185</v>
      </c>
    </row>
    <row r="39" customFormat="false" ht="15" hidden="false" customHeight="false" outlineLevel="0" collapsed="false">
      <c r="A39" s="12" t="s">
        <v>65</v>
      </c>
      <c r="B39" s="14" t="n">
        <f aca="false">IF(B14=0,0,B38/B14)</f>
        <v>0.666923261390887</v>
      </c>
      <c r="C39" s="14" t="n">
        <f aca="false">IF(C14=0,0,C38/C14)</f>
        <v>0.693036082474227</v>
      </c>
      <c r="D39" s="14" t="n">
        <f aca="false">IF(D14=0,0,D38/D14)</f>
        <v>0.702894034209428</v>
      </c>
    </row>
    <row r="40" customFormat="false" ht="15" hidden="false" customHeight="false" outlineLevel="0" collapsed="false">
      <c r="A40" s="12" t="s">
        <v>66</v>
      </c>
      <c r="B40" s="20" t="n">
        <f aca="false">B38*12</f>
        <v>6674.568</v>
      </c>
      <c r="C40" s="20" t="n">
        <f aca="false">C38*12</f>
        <v>32267.76</v>
      </c>
      <c r="D40" s="20" t="n">
        <f aca="false">D38*12</f>
        <v>101090.22</v>
      </c>
    </row>
    <row r="42" customFormat="false" ht="15" hidden="false" customHeight="false" outlineLevel="0" collapsed="false">
      <c r="A42" s="3" t="s">
        <v>67</v>
      </c>
      <c r="B42" s="3"/>
      <c r="C42" s="3"/>
      <c r="D42" s="3"/>
    </row>
    <row r="43" customFormat="false" ht="15" hidden="false" customHeight="false" outlineLevel="0" collapsed="false">
      <c r="A43" s="12" t="s">
        <v>68</v>
      </c>
      <c r="B43" s="17" t="n">
        <f aca="false">B35</f>
        <v>48</v>
      </c>
    </row>
    <row r="44" customFormat="false" ht="15" hidden="false" customHeight="false" outlineLevel="0" collapsed="false">
      <c r="A44" s="0" t="s">
        <v>69</v>
      </c>
      <c r="B44" s="8" t="n">
        <f aca="false">IF(B8=0,0,B21/B8)</f>
        <v>37.763375</v>
      </c>
    </row>
    <row r="45" customFormat="false" ht="15" hidden="false" customHeight="false" outlineLevel="0" collapsed="false">
      <c r="A45" s="23" t="s">
        <v>70</v>
      </c>
      <c r="B45" s="24" t="n">
        <f aca="false">IF(B44=0,0,ROUNDUP(B43/B44,0))</f>
        <v>2</v>
      </c>
    </row>
    <row r="46" customFormat="false" ht="15" hidden="false" customHeight="false" outlineLevel="0" collapsed="false">
      <c r="A46" s="12" t="s">
        <v>71</v>
      </c>
      <c r="B46" s="20" t="n">
        <f aca="false">B35+B20</f>
        <v>277.786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6"/>
  </cols>
  <sheetData>
    <row r="1" customFormat="false" ht="19.7" hidden="false" customHeight="false" outlineLevel="0" collapsed="false">
      <c r="A1" s="1" t="s">
        <v>72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5"/>
      <c r="B3" s="3" t="s">
        <v>73</v>
      </c>
      <c r="C3" s="3" t="s">
        <v>74</v>
      </c>
      <c r="D3" s="3" t="s">
        <v>33</v>
      </c>
      <c r="E3" s="3" t="s">
        <v>75</v>
      </c>
      <c r="F3" s="3" t="s">
        <v>76</v>
      </c>
      <c r="G3" s="3" t="s">
        <v>34</v>
      </c>
    </row>
    <row r="4" customFormat="false" ht="15" hidden="false" customHeight="false" outlineLevel="0" collapsed="false">
      <c r="A4" s="0" t="s">
        <v>77</v>
      </c>
      <c r="B4" s="4" t="n">
        <v>500</v>
      </c>
      <c r="C4" s="17" t="n">
        <f aca="false">B10</f>
        <v>1284</v>
      </c>
      <c r="D4" s="17" t="n">
        <f aca="false">C10</f>
        <v>2784</v>
      </c>
      <c r="E4" s="26" t="n">
        <f aca="false">D10</f>
        <v>6386</v>
      </c>
      <c r="F4" s="17" t="n">
        <f aca="false">E10</f>
        <v>12066</v>
      </c>
      <c r="G4" s="17" t="n">
        <f aca="false">F10</f>
        <v>20376</v>
      </c>
    </row>
    <row r="5" customFormat="false" ht="15" hidden="false" customHeight="false" outlineLevel="0" collapsed="false">
      <c r="A5" s="0" t="s">
        <v>38</v>
      </c>
      <c r="B5" s="15" t="n">
        <v>16</v>
      </c>
      <c r="C5" s="15" t="n">
        <v>30</v>
      </c>
      <c r="D5" s="15" t="n">
        <v>70</v>
      </c>
      <c r="E5" s="15" t="n">
        <v>110</v>
      </c>
      <c r="F5" s="15" t="n">
        <v>160</v>
      </c>
      <c r="G5" s="15" t="n">
        <v>215</v>
      </c>
    </row>
    <row r="6" customFormat="false" ht="15" hidden="false" customHeight="false" outlineLevel="0" collapsed="false">
      <c r="A6" s="0" t="s">
        <v>78</v>
      </c>
      <c r="B6" s="4" t="n">
        <v>55</v>
      </c>
      <c r="C6" s="17" t="n">
        <f aca="false">B6</f>
        <v>55</v>
      </c>
      <c r="D6" s="17" t="n">
        <f aca="false">B6</f>
        <v>55</v>
      </c>
      <c r="E6" s="17" t="n">
        <f aca="false">B6</f>
        <v>55</v>
      </c>
      <c r="F6" s="17" t="n">
        <f aca="false">B6</f>
        <v>55</v>
      </c>
      <c r="G6" s="17" t="n">
        <f aca="false">B6</f>
        <v>55</v>
      </c>
    </row>
    <row r="7" customFormat="false" ht="15" hidden="false" customHeight="false" outlineLevel="0" collapsed="false">
      <c r="A7" s="12" t="s">
        <v>79</v>
      </c>
      <c r="B7" s="20" t="n">
        <f aca="false">B5*B6</f>
        <v>880</v>
      </c>
      <c r="C7" s="20" t="n">
        <f aca="false">C5*C6</f>
        <v>1650</v>
      </c>
      <c r="D7" s="20" t="n">
        <f aca="false">D5*D6</f>
        <v>3850</v>
      </c>
      <c r="E7" s="20" t="n">
        <f aca="false">E5*E6</f>
        <v>6050</v>
      </c>
      <c r="F7" s="20" t="n">
        <f aca="false">F5*F6</f>
        <v>8800</v>
      </c>
      <c r="G7" s="20" t="n">
        <f aca="false">G5*G6</f>
        <v>11825</v>
      </c>
    </row>
    <row r="8" customFormat="false" ht="15" hidden="false" customHeight="false" outlineLevel="0" collapsed="false">
      <c r="A8" s="0" t="s">
        <v>80</v>
      </c>
      <c r="B8" s="4" t="n">
        <v>96</v>
      </c>
      <c r="C8" s="4" t="n">
        <v>150</v>
      </c>
      <c r="D8" s="4" t="n">
        <v>248</v>
      </c>
      <c r="E8" s="4" t="n">
        <v>370</v>
      </c>
      <c r="F8" s="4" t="n">
        <v>490</v>
      </c>
      <c r="G8" s="4" t="n">
        <v>588</v>
      </c>
    </row>
    <row r="9" customFormat="false" ht="15" hidden="false" customHeight="false" outlineLevel="0" collapsed="false">
      <c r="A9" s="12" t="s">
        <v>81</v>
      </c>
      <c r="B9" s="20" t="n">
        <f aca="false">B7-B8</f>
        <v>784</v>
      </c>
      <c r="C9" s="20" t="n">
        <f aca="false">C7-C8</f>
        <v>1500</v>
      </c>
      <c r="D9" s="20" t="n">
        <f aca="false">D7-D8</f>
        <v>3602</v>
      </c>
      <c r="E9" s="20" t="n">
        <f aca="false">E7-E8</f>
        <v>5680</v>
      </c>
      <c r="F9" s="20" t="n">
        <f aca="false">F7-F8</f>
        <v>8310</v>
      </c>
      <c r="G9" s="20" t="n">
        <f aca="false">G7-G8</f>
        <v>11237</v>
      </c>
    </row>
    <row r="10" customFormat="false" ht="15" hidden="false" customHeight="false" outlineLevel="0" collapsed="false">
      <c r="A10" s="27" t="s">
        <v>82</v>
      </c>
      <c r="B10" s="28" t="n">
        <f aca="false">B4+B9</f>
        <v>1284</v>
      </c>
      <c r="C10" s="28" t="n">
        <f aca="false">C4+C9</f>
        <v>2784</v>
      </c>
      <c r="D10" s="28" t="n">
        <f aca="false">D4+D9</f>
        <v>6386</v>
      </c>
      <c r="E10" s="28" t="n">
        <f aca="false">E4+E9</f>
        <v>12066</v>
      </c>
      <c r="F10" s="28" t="n">
        <f aca="false">F4+F9</f>
        <v>20376</v>
      </c>
      <c r="G10" s="28" t="n">
        <f aca="false">G4+G9</f>
        <v>31613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2026-03-16T06:29:44Z</dcterms:created>
  <dc:creator>openpyxl</dc:creator>
  <dc:description/>
  <dc:language>en-US</dc:language>
  <cp:lastModifiedBy/>
  <dcterms:modified xsi:type="dcterms:W3CDTF">2026-03-16T06:29:44Z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